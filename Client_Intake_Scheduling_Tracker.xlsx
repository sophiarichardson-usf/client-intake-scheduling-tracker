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A8CDA5B6-F082-48E7-ACDD-8207EA9F42BE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Clients" sheetId="3" r:id="rId1"/>
    <sheet name="Appointments" sheetId="2" r:id="rId2"/>
    <sheet name="Dashboard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B11" i="1"/>
  <c r="B10" i="1"/>
  <c r="B9" i="1"/>
  <c r="B8" i="1"/>
  <c r="B6" i="1"/>
  <c r="B4" i="1"/>
  <c r="B2" i="1"/>
</calcChain>
</file>

<file path=xl/sharedStrings.xml><?xml version="1.0" encoding="utf-8"?>
<sst xmlns="http://schemas.openxmlformats.org/spreadsheetml/2006/main" count="326" uniqueCount="161">
  <si>
    <t>Client ID</t>
  </si>
  <si>
    <t>First Name</t>
  </si>
  <si>
    <t>Last Name</t>
  </si>
  <si>
    <t>Phone</t>
  </si>
  <si>
    <t>Email</t>
  </si>
  <si>
    <t>New/Existing</t>
  </si>
  <si>
    <t>Intake Complete</t>
  </si>
  <si>
    <t>Notes</t>
  </si>
  <si>
    <t>C001</t>
  </si>
  <si>
    <t>Ava</t>
  </si>
  <si>
    <t>Johnson</t>
  </si>
  <si>
    <t>813-555-1001</t>
  </si>
  <si>
    <t>ava.johnson@example.com</t>
  </si>
  <si>
    <t>New</t>
  </si>
  <si>
    <t>Yes</t>
  </si>
  <si>
    <t>First appointment</t>
  </si>
  <si>
    <t>C002</t>
  </si>
  <si>
    <t>Noah</t>
  </si>
  <si>
    <t>Williams</t>
  </si>
  <si>
    <t>813-555-1002</t>
  </si>
  <si>
    <t>noah.williams@example.com</t>
  </si>
  <si>
    <t>Existing</t>
  </si>
  <si>
    <t>Follow-up</t>
  </si>
  <si>
    <t>C003</t>
  </si>
  <si>
    <t>Mia</t>
  </si>
  <si>
    <t>Davis</t>
  </si>
  <si>
    <t>813-555-1003</t>
  </si>
  <si>
    <t>mia.davis@example.com</t>
  </si>
  <si>
    <t>No</t>
  </si>
  <si>
    <t>Forms pending</t>
  </si>
  <si>
    <t>C004</t>
  </si>
  <si>
    <t>Liam</t>
  </si>
  <si>
    <t>Carter</t>
  </si>
  <si>
    <t>813-555-1004</t>
  </si>
  <si>
    <t>liam.carter@example.com</t>
  </si>
  <si>
    <t>C005</t>
  </si>
  <si>
    <t>Emma</t>
  </si>
  <si>
    <t>Wilson</t>
  </si>
  <si>
    <t>813-555-1005</t>
  </si>
  <si>
    <t>emma.wilson@example.com</t>
  </si>
  <si>
    <t>C006</t>
  </si>
  <si>
    <t>Ethan</t>
  </si>
  <si>
    <t>Moore</t>
  </si>
  <si>
    <t>813-555-1006</t>
  </si>
  <si>
    <t>ethan.moore@example.com</t>
  </si>
  <si>
    <t>Returning client</t>
  </si>
  <si>
    <t>C007</t>
  </si>
  <si>
    <t>Isabella</t>
  </si>
  <si>
    <t>Taylor</t>
  </si>
  <si>
    <t>813-555-1007</t>
  </si>
  <si>
    <t>isabella.taylor@example.com</t>
  </si>
  <si>
    <t>C008</t>
  </si>
  <si>
    <t>Lucas</t>
  </si>
  <si>
    <t>Anderson</t>
  </si>
  <si>
    <t>813-555-1008</t>
  </si>
  <si>
    <t>lucas.anderson@example.com</t>
  </si>
  <si>
    <t>Missing intake information</t>
  </si>
  <si>
    <t>C009</t>
  </si>
  <si>
    <t>Amelia</t>
  </si>
  <si>
    <t>Thomas</t>
  </si>
  <si>
    <t>813-555-1009</t>
  </si>
  <si>
    <t>amelia.thomas@example.com</t>
  </si>
  <si>
    <t>C010</t>
  </si>
  <si>
    <t>Mason</t>
  </si>
  <si>
    <t>Jackson</t>
  </si>
  <si>
    <t>813-555-1010</t>
  </si>
  <si>
    <t>mason.jackson@example.com</t>
  </si>
  <si>
    <t>C011</t>
  </si>
  <si>
    <t>Olivia</t>
  </si>
  <si>
    <t>Harris</t>
  </si>
  <si>
    <t>813-555-1011</t>
  </si>
  <si>
    <t>olivia.harris@example.com</t>
  </si>
  <si>
    <t>C012</t>
  </si>
  <si>
    <t>Elijah</t>
  </si>
  <si>
    <t>Martin</t>
  </si>
  <si>
    <t>813-555-1012</t>
  </si>
  <si>
    <t>elijah.martin@example.com</t>
  </si>
  <si>
    <t>C013</t>
  </si>
  <si>
    <t>Charlotte</t>
  </si>
  <si>
    <t>Thompson</t>
  </si>
  <si>
    <t>813-555-1013</t>
  </si>
  <si>
    <t>charlotte.thompson@example.com</t>
  </si>
  <si>
    <t>C014</t>
  </si>
  <si>
    <t>James</t>
  </si>
  <si>
    <t>Garcia</t>
  </si>
  <si>
    <t>813-555-1014</t>
  </si>
  <si>
    <t>james.garcia@example.com</t>
  </si>
  <si>
    <t>C015</t>
  </si>
  <si>
    <t>Harper</t>
  </si>
  <si>
    <t>Robinson</t>
  </si>
  <si>
    <t>813-555-1015</t>
  </si>
  <si>
    <t>harper.robinson@example.com</t>
  </si>
  <si>
    <t>Contact information incomplete</t>
  </si>
  <si>
    <t>Appointment ID</t>
  </si>
  <si>
    <t>Appointment Date</t>
  </si>
  <si>
    <t>Appointment Time</t>
  </si>
  <si>
    <t>Staff Member</t>
  </si>
  <si>
    <t>Service Type</t>
  </si>
  <si>
    <t>Status</t>
  </si>
  <si>
    <t>Check-In Status</t>
  </si>
  <si>
    <t>A001</t>
  </si>
  <si>
    <t>Jordan Smith</t>
  </si>
  <si>
    <t>Consultation</t>
  </si>
  <si>
    <t>Scheduled</t>
  </si>
  <si>
    <t>Not Checked In</t>
  </si>
  <si>
    <t>A002</t>
  </si>
  <si>
    <t>Taylor Lee</t>
  </si>
  <si>
    <t>Follow-Up</t>
  </si>
  <si>
    <t>Completed</t>
  </si>
  <si>
    <t>Checked In</t>
  </si>
  <si>
    <t>Routine follow-up</t>
  </si>
  <si>
    <t>A003</t>
  </si>
  <si>
    <t>Morgan Davis</t>
  </si>
  <si>
    <t>Cancelled</t>
  </si>
  <si>
    <t>N/A</t>
  </si>
  <si>
    <t>Client cancelled</t>
  </si>
  <si>
    <t>A004</t>
  </si>
  <si>
    <t>Follow-up completed</t>
  </si>
  <si>
    <t>A005</t>
  </si>
  <si>
    <t>New client</t>
  </si>
  <si>
    <t>A006</t>
  </si>
  <si>
    <t>Intake forms pending</t>
  </si>
  <si>
    <t>A007</t>
  </si>
  <si>
    <t>A008</t>
  </si>
  <si>
    <t>No Show</t>
  </si>
  <si>
    <t>Did not attend</t>
  </si>
  <si>
    <t>A009</t>
  </si>
  <si>
    <t>A010</t>
  </si>
  <si>
    <t>Follow-up visit</t>
  </si>
  <si>
    <t>A011</t>
  </si>
  <si>
    <t>Intake information incomplete</t>
  </si>
  <si>
    <t>A012</t>
  </si>
  <si>
    <t>A013</t>
  </si>
  <si>
    <t>Rescheduling requested</t>
  </si>
  <si>
    <t>A014</t>
  </si>
  <si>
    <t>Contact information pending</t>
  </si>
  <si>
    <t>A015</t>
  </si>
  <si>
    <t>A016</t>
  </si>
  <si>
    <t>Second appointment</t>
  </si>
  <si>
    <t>A017</t>
  </si>
  <si>
    <t>Client unavailable</t>
  </si>
  <si>
    <t>A018</t>
  </si>
  <si>
    <t>A019</t>
  </si>
  <si>
    <t>Initial consultation completed</t>
  </si>
  <si>
    <t>A020</t>
  </si>
  <si>
    <t>A021</t>
  </si>
  <si>
    <t>A022</t>
  </si>
  <si>
    <t>A023</t>
  </si>
  <si>
    <t>A024</t>
  </si>
  <si>
    <t>New client consultation</t>
  </si>
  <si>
    <t>A025</t>
  </si>
  <si>
    <t>Follow-up scheduled</t>
  </si>
  <si>
    <t>Client Intake &amp; Scheduling Dashboard</t>
  </si>
  <si>
    <t>Total Clients</t>
  </si>
  <si>
    <t>Incomplete Intake Forms</t>
  </si>
  <si>
    <t>Total Appointments</t>
  </si>
  <si>
    <t>Scheduled Appointments</t>
  </si>
  <si>
    <t>Completed Appointments</t>
  </si>
  <si>
    <t>Cancelled Appointments</t>
  </si>
  <si>
    <t>No Shows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</si>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</sst>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b/>
      <sz val="14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3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18" fontId="0" fillId="0" borderId="0" xfId="0" applyNumberFormat="1"/>
    <xf numFmtId="0" fontId="4" fillId="0" borderId="0" xfId="0" applyFont="1"/>
    <xf numFmtId="0" fontId="3" fillId="2" borderId="1" xfId="1"/>
    <xf numFmtId="0" fontId="1" fillId="4" borderId="0" xfId="3"/>
    <xf numFmtId="0" fontId="1" fillId="3" borderId="0" xfId="2"/>
    <xf numFmtId="0" fontId="1" fillId="5" borderId="0" xfId="4"/>
    <xf numFmtId="0" fontId="1" fillId="6" borderId="0" xfId="5"/>
    <xf numFmtId="0" fontId="3" fillId="2" borderId="1" xfId="1" quotePrefix="1"/>
  </cellXfs>
  <cellStyles count="6">
    <cellStyle name="20% - Accent2" xfId="2" builtinId="34"/>
    <cellStyle name="40% - Accent2" xfId="3" builtinId="35"/>
    <cellStyle name="60% - Accent2" xfId="4" builtinId="36"/>
    <cellStyle name="60% - Accent3" xfId="5" builtinId="40"/>
    <cellStyle name="Normal" xfId="0" builtinId="0"/>
    <cellStyle name="Output" xfId="1" builtinId="21"/>
  </cellStyles>
  <dxfs count="7">
    <dxf>
      <numFmt numFmtId="23" formatCode="h:mm\ AM/PM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B7B7B"/>
            </a:solidFill>
            <a:ln>
              <a:noFill/>
            </a:ln>
            <a:effectLst/>
          </c:spPr>
          <c:invertIfNegative val="0"/>
          <c:cat>
            <c:strRef>
              <c:f>Dashboard!$F$14:$F$17</c:f>
              <c:strCache>
                <c:ptCount val="4"/>
                <c:pt idx="0">
                  <c:v>Scheduled</c:v>
                </c:pt>
                <c:pt idx="1">
                  <c:v>Completed</c:v>
                </c:pt>
                <c:pt idx="2">
                  <c:v>Cancelled</c:v>
                </c:pt>
                <c:pt idx="3">
                  <c:v>No Show</c:v>
                </c:pt>
              </c:strCache>
            </c:strRef>
          </c:cat>
          <c:val>
            <c:numRef>
              <c:f>Dashboard!$G$14:$G$17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D-4404-80E3-7BB5418A7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937416"/>
        <c:axId val="1264477704"/>
      </c:barChart>
      <c:catAx>
        <c:axId val="120193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77704"/>
        <c:crosses val="autoZero"/>
        <c:auto val="1"/>
        <c:lblAlgn val="ctr"/>
        <c:lblOffset val="100"/>
        <c:noMultiLvlLbl val="0"/>
      </c:catAx>
      <c:valAx>
        <c:axId val="126447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3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135481320228657"/>
          <c:y val="0.88000003692888495"/>
          <c:w val="0.13259869789003648"/>
          <c:h val="7.6014045541604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9525</xdr:rowOff>
    </xdr:from>
    <xdr:to>
      <xdr:col>4</xdr:col>
      <xdr:colOff>219075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F1F8B-B8AB-3973-3CF0-CAAFF1284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FBA32-E630-48B0-84E9-EDA7BB254F34}" name="Table1" displayName="Table1" ref="A1:H16" totalsRowShown="0">
  <autoFilter ref="A1:H16" xr:uid="{1DCFBA32-E630-48B0-84E9-EDA7BB254F34}"/>
  <tableColumns count="8">
    <tableColumn id="1" xr3:uid="{74D86459-AAC7-4B7B-90BA-EA6DE9CE0049}" name="Client ID"/>
    <tableColumn id="2" xr3:uid="{6CB434EB-C9D8-4D19-A74C-98E36C109246}" name="First Name"/>
    <tableColumn id="3" xr3:uid="{7C747740-3F15-4620-96F1-9A2ED4C9D940}" name="Last Name"/>
    <tableColumn id="4" xr3:uid="{376DD5D3-D4EF-47D0-BEE8-1B8F7F5B4E80}" name="Phone"/>
    <tableColumn id="5" xr3:uid="{8D0E12C1-FEF4-4063-A357-FFB829BF6B70}" name="Email"/>
    <tableColumn id="6" xr3:uid="{6FC980F1-CA7F-4D10-A1FC-D11D4E3820EE}" name="New/Existing"/>
    <tableColumn id="7" xr3:uid="{87E412D3-1C7D-43C6-B46B-D89B9C5EB98D}" name="Intake Complete"/>
    <tableColumn id="8" xr3:uid="{9C491CE0-9E9E-4D9F-B465-DFC420D92C18}" name="Not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B62979-01DF-41DE-B74F-E4EC3B10CD4B}" name="Table2" displayName="Table2" ref="A1:I26" totalsRowShown="0" headerRowDxfId="2">
  <autoFilter ref="A1:I26" xr:uid="{67B62979-01DF-41DE-B74F-E4EC3B10CD4B}"/>
  <tableColumns count="9">
    <tableColumn id="1" xr3:uid="{144DA860-0490-4E9A-9D9F-19DCD0A10FB1}" name="Appointment ID"/>
    <tableColumn id="2" xr3:uid="{CE38648D-22A1-4B34-B3D1-2F2B83A6676B}" name="Client ID"/>
    <tableColumn id="3" xr3:uid="{72EC7DCF-C6CD-49F0-9F4A-3DA9337C285E}" name="Appointment Date" dataDxfId="1"/>
    <tableColumn id="4" xr3:uid="{EFC69ADA-F354-4225-88CC-E48B3DC6AD4C}" name="Appointment Time" dataDxfId="0"/>
    <tableColumn id="5" xr3:uid="{893795B2-285E-43D2-82B0-69F2A7D2C931}" name="Staff Member"/>
    <tableColumn id="6" xr3:uid="{C4F08C46-9636-4CAB-B10C-6B719F4A3F1D}" name="Service Type"/>
    <tableColumn id="7" xr3:uid="{308BE769-E7EF-42CF-8A15-26DD6179951C}" name="Status"/>
    <tableColumn id="8" xr3:uid="{562AE162-4EF7-403C-AED0-5AA2D171219A}" name="Check-In Status"/>
    <tableColumn id="9" xr3:uid="{604C9871-CC24-4050-A2D0-15E91D5CEAD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050E-547B-4046-8369-AC37DB69ED47}">
  <dimension ref="A1:H16"/>
  <sheetViews>
    <sheetView workbookViewId="0">
      <pane ySplit="1" topLeftCell="A2" activePane="bottomLeft" state="frozen"/>
      <selection pane="bottomLeft" activeCell="H20" sqref="H20"/>
    </sheetView>
  </sheetViews>
  <sheetFormatPr defaultRowHeight="15"/>
  <cols>
    <col min="1" max="1" width="11" bestFit="1" customWidth="1"/>
    <col min="2" max="2" width="13.140625" bestFit="1" customWidth="1"/>
    <col min="3" max="3" width="12.7109375" bestFit="1" customWidth="1"/>
    <col min="4" max="4" width="13.42578125" bestFit="1" customWidth="1"/>
    <col min="5" max="5" width="32.85546875" bestFit="1" customWidth="1"/>
    <col min="6" max="6" width="15.28515625" bestFit="1" customWidth="1"/>
    <col min="7" max="7" width="18.28515625" bestFit="1" customWidth="1"/>
    <col min="8" max="8" width="29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13</v>
      </c>
      <c r="G4" t="s">
        <v>28</v>
      </c>
      <c r="H4" t="s">
        <v>29</v>
      </c>
    </row>
    <row r="5" spans="1:8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21</v>
      </c>
      <c r="G5" t="s">
        <v>14</v>
      </c>
      <c r="H5" t="s">
        <v>22</v>
      </c>
    </row>
    <row r="6" spans="1:8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13</v>
      </c>
      <c r="G6" t="s">
        <v>28</v>
      </c>
      <c r="H6" t="s">
        <v>29</v>
      </c>
    </row>
    <row r="7" spans="1:8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21</v>
      </c>
      <c r="G7" t="s">
        <v>14</v>
      </c>
      <c r="H7" t="s">
        <v>45</v>
      </c>
    </row>
    <row r="8" spans="1: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13</v>
      </c>
      <c r="G8" t="s">
        <v>14</v>
      </c>
      <c r="H8" t="s">
        <v>15</v>
      </c>
    </row>
    <row r="9" spans="1:8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21</v>
      </c>
      <c r="G9" t="s">
        <v>28</v>
      </c>
      <c r="H9" t="s">
        <v>56</v>
      </c>
    </row>
    <row r="10" spans="1:8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21</v>
      </c>
      <c r="G10" t="s">
        <v>14</v>
      </c>
      <c r="H10" t="s">
        <v>22</v>
      </c>
    </row>
    <row r="11" spans="1:8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13</v>
      </c>
      <c r="G11" t="s">
        <v>14</v>
      </c>
      <c r="H11" t="s">
        <v>15</v>
      </c>
    </row>
    <row r="12" spans="1:8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21</v>
      </c>
      <c r="G12" t="s">
        <v>14</v>
      </c>
      <c r="H12" t="s">
        <v>45</v>
      </c>
    </row>
    <row r="13" spans="1:8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13</v>
      </c>
      <c r="G13" t="s">
        <v>28</v>
      </c>
      <c r="H13" t="s">
        <v>29</v>
      </c>
    </row>
    <row r="14" spans="1:8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21</v>
      </c>
      <c r="G14" t="s">
        <v>14</v>
      </c>
      <c r="H14" t="s">
        <v>22</v>
      </c>
    </row>
    <row r="15" spans="1:8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13</v>
      </c>
      <c r="G15" t="s">
        <v>14</v>
      </c>
      <c r="H15" t="s">
        <v>15</v>
      </c>
    </row>
    <row r="16" spans="1:8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21</v>
      </c>
      <c r="G16" t="s">
        <v>28</v>
      </c>
      <c r="H16" t="s">
        <v>92</v>
      </c>
    </row>
  </sheetData>
  <conditionalFormatting sqref="G2:G100">
    <cfRule type="containsText" dxfId="6" priority="1" operator="containsText" text="No">
      <formula>NOT(ISERROR(SEARCH("No",G2)))</formula>
    </cfRule>
  </conditionalFormatting>
  <dataValidations count="2">
    <dataValidation type="list" allowBlank="1" showInputMessage="1" showErrorMessage="1" sqref="F2:F100" xr:uid="{FB433A57-E282-44F0-8C50-86883B928FDF}">
      <formula1>"New,Existing"</formula1>
    </dataValidation>
    <dataValidation type="list" allowBlank="1" showInputMessage="1" showErrorMessage="1" sqref="G2:G100" xr:uid="{9A641757-0DE6-4478-B3B3-AE99C8A3CE4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7136-C039-4A27-869E-09070CD50250}">
  <dimension ref="A1:I26"/>
  <sheetViews>
    <sheetView workbookViewId="0">
      <selection activeCell="G12" sqref="G12"/>
    </sheetView>
  </sheetViews>
  <sheetFormatPr defaultRowHeight="15"/>
  <cols>
    <col min="1" max="1" width="17.85546875" bestFit="1" customWidth="1"/>
    <col min="2" max="2" width="11" bestFit="1" customWidth="1"/>
    <col min="3" max="3" width="20.28515625" bestFit="1" customWidth="1"/>
    <col min="4" max="4" width="20.42578125" bestFit="1" customWidth="1"/>
    <col min="5" max="5" width="15.85546875" bestFit="1" customWidth="1"/>
    <col min="6" max="6" width="14.5703125" bestFit="1" customWidth="1"/>
    <col min="7" max="7" width="10.7109375" bestFit="1" customWidth="1"/>
    <col min="8" max="8" width="17.28515625" bestFit="1" customWidth="1"/>
    <col min="9" max="9" width="28.28515625" bestFit="1" customWidth="1"/>
  </cols>
  <sheetData>
    <row r="1" spans="1:9">
      <c r="A1" s="1" t="s">
        <v>93</v>
      </c>
      <c r="B1" s="1" t="s">
        <v>0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7</v>
      </c>
    </row>
    <row r="2" spans="1:9">
      <c r="A2" t="s">
        <v>100</v>
      </c>
      <c r="B2" t="s">
        <v>8</v>
      </c>
      <c r="C2" s="2">
        <v>46251</v>
      </c>
      <c r="D2" s="3">
        <v>0.375</v>
      </c>
      <c r="E2" t="s">
        <v>101</v>
      </c>
      <c r="F2" t="s">
        <v>102</v>
      </c>
      <c r="G2" t="s">
        <v>103</v>
      </c>
      <c r="H2" t="s">
        <v>104</v>
      </c>
      <c r="I2" t="s">
        <v>15</v>
      </c>
    </row>
    <row r="3" spans="1:9">
      <c r="A3" t="s">
        <v>105</v>
      </c>
      <c r="B3" t="s">
        <v>30</v>
      </c>
      <c r="C3" s="2">
        <v>46251</v>
      </c>
      <c r="D3" s="3">
        <v>0.41666666666666669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</row>
    <row r="4" spans="1:9">
      <c r="A4" t="s">
        <v>111</v>
      </c>
      <c r="B4" t="s">
        <v>46</v>
      </c>
      <c r="C4" s="2">
        <v>46251</v>
      </c>
      <c r="D4" s="3">
        <v>0.47916666666666669</v>
      </c>
      <c r="E4" t="s">
        <v>112</v>
      </c>
      <c r="F4" t="s">
        <v>102</v>
      </c>
      <c r="G4" t="s">
        <v>113</v>
      </c>
      <c r="H4" t="s">
        <v>114</v>
      </c>
      <c r="I4" t="s">
        <v>115</v>
      </c>
    </row>
    <row r="5" spans="1:9">
      <c r="A5" t="s">
        <v>116</v>
      </c>
      <c r="B5" t="s">
        <v>16</v>
      </c>
      <c r="C5" s="2">
        <v>46251</v>
      </c>
      <c r="D5" s="3">
        <v>0.54166666666666663</v>
      </c>
      <c r="E5" t="s">
        <v>101</v>
      </c>
      <c r="F5" t="s">
        <v>107</v>
      </c>
      <c r="G5" t="s">
        <v>108</v>
      </c>
      <c r="H5" t="s">
        <v>109</v>
      </c>
      <c r="I5" t="s">
        <v>117</v>
      </c>
    </row>
    <row r="6" spans="1:9">
      <c r="A6" t="s">
        <v>118</v>
      </c>
      <c r="B6" t="s">
        <v>62</v>
      </c>
      <c r="C6" s="2">
        <v>46251</v>
      </c>
      <c r="D6" s="3">
        <v>0.60416666666666663</v>
      </c>
      <c r="E6" t="s">
        <v>106</v>
      </c>
      <c r="F6" t="s">
        <v>102</v>
      </c>
      <c r="G6" t="s">
        <v>103</v>
      </c>
      <c r="H6" t="s">
        <v>104</v>
      </c>
      <c r="I6" t="s">
        <v>119</v>
      </c>
    </row>
    <row r="7" spans="1:9">
      <c r="A7" t="s">
        <v>120</v>
      </c>
      <c r="B7" t="s">
        <v>35</v>
      </c>
      <c r="C7" s="2">
        <v>46252</v>
      </c>
      <c r="D7" s="3">
        <v>0.35416666666666669</v>
      </c>
      <c r="E7" t="s">
        <v>112</v>
      </c>
      <c r="F7" t="s">
        <v>102</v>
      </c>
      <c r="G7" t="s">
        <v>103</v>
      </c>
      <c r="H7" t="s">
        <v>104</v>
      </c>
      <c r="I7" t="s">
        <v>121</v>
      </c>
    </row>
    <row r="8" spans="1:9">
      <c r="A8" t="s">
        <v>122</v>
      </c>
      <c r="B8" t="s">
        <v>57</v>
      </c>
      <c r="C8" s="2">
        <v>46252</v>
      </c>
      <c r="D8" s="3">
        <v>0.39583333333333331</v>
      </c>
      <c r="E8" t="s">
        <v>101</v>
      </c>
      <c r="F8" t="s">
        <v>107</v>
      </c>
      <c r="G8" t="s">
        <v>108</v>
      </c>
      <c r="H8" t="s">
        <v>109</v>
      </c>
      <c r="I8" t="s">
        <v>45</v>
      </c>
    </row>
    <row r="9" spans="1:9">
      <c r="A9" t="s">
        <v>123</v>
      </c>
      <c r="B9" t="s">
        <v>72</v>
      </c>
      <c r="C9" s="2">
        <v>46252</v>
      </c>
      <c r="D9" s="3">
        <v>0.4375</v>
      </c>
      <c r="E9" t="s">
        <v>106</v>
      </c>
      <c r="F9" t="s">
        <v>102</v>
      </c>
      <c r="G9" t="s">
        <v>124</v>
      </c>
      <c r="H9" t="s">
        <v>114</v>
      </c>
      <c r="I9" t="s">
        <v>125</v>
      </c>
    </row>
    <row r="10" spans="1:9">
      <c r="A10" t="s">
        <v>126</v>
      </c>
      <c r="B10" t="s">
        <v>82</v>
      </c>
      <c r="C10" s="2">
        <v>46252</v>
      </c>
      <c r="D10" s="3">
        <v>0.5</v>
      </c>
      <c r="E10" t="s">
        <v>112</v>
      </c>
      <c r="F10" t="s">
        <v>102</v>
      </c>
      <c r="G10" t="s">
        <v>108</v>
      </c>
      <c r="H10" t="s">
        <v>109</v>
      </c>
      <c r="I10" t="s">
        <v>15</v>
      </c>
    </row>
    <row r="11" spans="1:9">
      <c r="A11" t="s">
        <v>127</v>
      </c>
      <c r="B11" t="s">
        <v>23</v>
      </c>
      <c r="C11" s="2">
        <v>46252</v>
      </c>
      <c r="D11" s="3">
        <v>0.58333333333333337</v>
      </c>
      <c r="E11" t="s">
        <v>101</v>
      </c>
      <c r="F11" t="s">
        <v>107</v>
      </c>
      <c r="G11" t="s">
        <v>103</v>
      </c>
      <c r="H11" t="s">
        <v>104</v>
      </c>
      <c r="I11" t="s">
        <v>128</v>
      </c>
    </row>
    <row r="12" spans="1:9">
      <c r="A12" t="s">
        <v>129</v>
      </c>
      <c r="B12" t="s">
        <v>51</v>
      </c>
      <c r="C12" s="2">
        <v>46253</v>
      </c>
      <c r="D12" s="3">
        <v>0.375</v>
      </c>
      <c r="E12" t="s">
        <v>106</v>
      </c>
      <c r="F12" t="s">
        <v>107</v>
      </c>
      <c r="G12" t="s">
        <v>103</v>
      </c>
      <c r="H12" t="s">
        <v>104</v>
      </c>
      <c r="I12" t="s">
        <v>130</v>
      </c>
    </row>
    <row r="13" spans="1:9">
      <c r="A13" t="s">
        <v>131</v>
      </c>
      <c r="B13" t="s">
        <v>67</v>
      </c>
      <c r="C13" s="2">
        <v>46253</v>
      </c>
      <c r="D13" s="3">
        <v>0.41666666666666669</v>
      </c>
      <c r="E13" t="s">
        <v>112</v>
      </c>
      <c r="F13" t="s">
        <v>107</v>
      </c>
      <c r="G13" t="s">
        <v>108</v>
      </c>
      <c r="H13" t="s">
        <v>109</v>
      </c>
      <c r="I13" t="s">
        <v>45</v>
      </c>
    </row>
    <row r="14" spans="1:9">
      <c r="A14" t="s">
        <v>132</v>
      </c>
      <c r="B14" t="s">
        <v>77</v>
      </c>
      <c r="C14" s="2">
        <v>46253</v>
      </c>
      <c r="D14" s="3">
        <v>0.45833333333333331</v>
      </c>
      <c r="E14" t="s">
        <v>101</v>
      </c>
      <c r="F14" t="s">
        <v>107</v>
      </c>
      <c r="G14" t="s">
        <v>113</v>
      </c>
      <c r="H14" t="s">
        <v>114</v>
      </c>
      <c r="I14" t="s">
        <v>133</v>
      </c>
    </row>
    <row r="15" spans="1:9">
      <c r="A15" t="s">
        <v>134</v>
      </c>
      <c r="B15" t="s">
        <v>87</v>
      </c>
      <c r="C15" s="2">
        <v>46253</v>
      </c>
      <c r="D15" s="3">
        <v>0.5625</v>
      </c>
      <c r="E15" t="s">
        <v>106</v>
      </c>
      <c r="F15" t="s">
        <v>107</v>
      </c>
      <c r="G15" t="s">
        <v>103</v>
      </c>
      <c r="H15" t="s">
        <v>104</v>
      </c>
      <c r="I15" t="s">
        <v>135</v>
      </c>
    </row>
    <row r="16" spans="1:9">
      <c r="A16" t="s">
        <v>136</v>
      </c>
      <c r="B16" t="s">
        <v>40</v>
      </c>
      <c r="C16" s="2">
        <v>46253</v>
      </c>
      <c r="D16" s="3">
        <v>0.625</v>
      </c>
      <c r="E16" t="s">
        <v>112</v>
      </c>
      <c r="F16" t="s">
        <v>107</v>
      </c>
      <c r="G16" t="s">
        <v>108</v>
      </c>
      <c r="H16" t="s">
        <v>109</v>
      </c>
      <c r="I16" t="s">
        <v>110</v>
      </c>
    </row>
    <row r="17" spans="1:9">
      <c r="A17" t="s">
        <v>137</v>
      </c>
      <c r="B17" t="s">
        <v>8</v>
      </c>
      <c r="C17" s="2">
        <v>46254</v>
      </c>
      <c r="D17" s="3">
        <v>0.35416666666666669</v>
      </c>
      <c r="E17" t="s">
        <v>101</v>
      </c>
      <c r="F17" t="s">
        <v>107</v>
      </c>
      <c r="G17" t="s">
        <v>103</v>
      </c>
      <c r="H17" t="s">
        <v>104</v>
      </c>
      <c r="I17" t="s">
        <v>138</v>
      </c>
    </row>
    <row r="18" spans="1:9">
      <c r="A18" t="s">
        <v>139</v>
      </c>
      <c r="B18" t="s">
        <v>35</v>
      </c>
      <c r="C18" s="2">
        <v>46254</v>
      </c>
      <c r="D18" s="3">
        <v>0.39583333333333331</v>
      </c>
      <c r="E18" t="s">
        <v>106</v>
      </c>
      <c r="F18" t="s">
        <v>102</v>
      </c>
      <c r="G18" t="s">
        <v>113</v>
      </c>
      <c r="H18" t="s">
        <v>114</v>
      </c>
      <c r="I18" t="s">
        <v>140</v>
      </c>
    </row>
    <row r="19" spans="1:9">
      <c r="A19" t="s">
        <v>141</v>
      </c>
      <c r="B19" t="s">
        <v>46</v>
      </c>
      <c r="C19" s="2">
        <v>46254</v>
      </c>
      <c r="D19" s="3">
        <v>0.45833333333333331</v>
      </c>
      <c r="E19" t="s">
        <v>112</v>
      </c>
      <c r="F19" t="s">
        <v>107</v>
      </c>
      <c r="G19" t="s">
        <v>108</v>
      </c>
      <c r="H19" t="s">
        <v>109</v>
      </c>
      <c r="I19" t="s">
        <v>117</v>
      </c>
    </row>
    <row r="20" spans="1:9">
      <c r="A20" t="s">
        <v>142</v>
      </c>
      <c r="B20" t="s">
        <v>62</v>
      </c>
      <c r="C20" s="2">
        <v>46254</v>
      </c>
      <c r="D20" s="3">
        <v>0.54166666666666663</v>
      </c>
      <c r="E20" t="s">
        <v>101</v>
      </c>
      <c r="F20" t="s">
        <v>102</v>
      </c>
      <c r="G20" t="s">
        <v>108</v>
      </c>
      <c r="H20" t="s">
        <v>109</v>
      </c>
      <c r="I20" t="s">
        <v>143</v>
      </c>
    </row>
    <row r="21" spans="1:9">
      <c r="A21" t="s">
        <v>144</v>
      </c>
      <c r="B21" t="s">
        <v>72</v>
      </c>
      <c r="C21" s="2">
        <v>46254</v>
      </c>
      <c r="D21" s="3">
        <v>0.60416666666666663</v>
      </c>
      <c r="E21" t="s">
        <v>106</v>
      </c>
      <c r="F21" t="s">
        <v>102</v>
      </c>
      <c r="G21" t="s">
        <v>103</v>
      </c>
      <c r="H21" t="s">
        <v>104</v>
      </c>
      <c r="I21" t="s">
        <v>121</v>
      </c>
    </row>
    <row r="22" spans="1:9">
      <c r="A22" t="s">
        <v>145</v>
      </c>
      <c r="B22" t="s">
        <v>16</v>
      </c>
      <c r="C22" s="2">
        <v>46255</v>
      </c>
      <c r="D22" s="3">
        <v>0.375</v>
      </c>
      <c r="E22" t="s">
        <v>112</v>
      </c>
      <c r="F22" t="s">
        <v>107</v>
      </c>
      <c r="G22" t="s">
        <v>108</v>
      </c>
      <c r="H22" t="s">
        <v>109</v>
      </c>
      <c r="I22" t="s">
        <v>110</v>
      </c>
    </row>
    <row r="23" spans="1:9">
      <c r="A23" t="s">
        <v>146</v>
      </c>
      <c r="B23" t="s">
        <v>30</v>
      </c>
      <c r="C23" s="2">
        <v>46255</v>
      </c>
      <c r="D23" s="3">
        <v>0.4375</v>
      </c>
      <c r="E23" t="s">
        <v>101</v>
      </c>
      <c r="F23" t="s">
        <v>107</v>
      </c>
      <c r="G23" t="s">
        <v>124</v>
      </c>
      <c r="H23" t="s">
        <v>114</v>
      </c>
      <c r="I23" t="s">
        <v>125</v>
      </c>
    </row>
    <row r="24" spans="1:9">
      <c r="A24" t="s">
        <v>147</v>
      </c>
      <c r="B24" t="s">
        <v>51</v>
      </c>
      <c r="C24" s="2">
        <v>46255</v>
      </c>
      <c r="D24" s="3">
        <v>0.5</v>
      </c>
      <c r="E24" t="s">
        <v>106</v>
      </c>
      <c r="F24" t="s">
        <v>107</v>
      </c>
      <c r="G24" t="s">
        <v>103</v>
      </c>
      <c r="H24" t="s">
        <v>104</v>
      </c>
      <c r="I24" t="s">
        <v>56</v>
      </c>
    </row>
    <row r="25" spans="1:9">
      <c r="A25" t="s">
        <v>148</v>
      </c>
      <c r="B25" t="s">
        <v>82</v>
      </c>
      <c r="C25" s="2">
        <v>46255</v>
      </c>
      <c r="D25" s="3">
        <v>0.5625</v>
      </c>
      <c r="E25" t="s">
        <v>112</v>
      </c>
      <c r="F25" t="s">
        <v>102</v>
      </c>
      <c r="G25" t="s">
        <v>108</v>
      </c>
      <c r="H25" t="s">
        <v>109</v>
      </c>
      <c r="I25" t="s">
        <v>149</v>
      </c>
    </row>
    <row r="26" spans="1:9">
      <c r="A26" t="s">
        <v>150</v>
      </c>
      <c r="B26" t="s">
        <v>87</v>
      </c>
      <c r="C26" s="2">
        <v>46255</v>
      </c>
      <c r="D26" s="3">
        <v>0.625</v>
      </c>
      <c r="E26" t="s">
        <v>101</v>
      </c>
      <c r="F26" t="s">
        <v>107</v>
      </c>
      <c r="G26" t="s">
        <v>103</v>
      </c>
      <c r="H26" t="s">
        <v>104</v>
      </c>
      <c r="I26" t="s">
        <v>151</v>
      </c>
    </row>
  </sheetData>
  <conditionalFormatting sqref="H2:H100">
    <cfRule type="containsText" dxfId="5" priority="3" operator="containsText" text="N/A">
      <formula>NOT(ISERROR(SEARCH("N/A",H2)))</formula>
    </cfRule>
  </conditionalFormatting>
  <conditionalFormatting sqref="H2:H100">
    <cfRule type="containsText" dxfId="4" priority="2" operator="containsText" text="Checked in">
      <formula>NOT(ISERROR(SEARCH("Checked in",H2)))</formula>
    </cfRule>
  </conditionalFormatting>
  <conditionalFormatting sqref="H2:H100">
    <cfRule type="containsText" dxfId="3" priority="1" operator="containsText" text="Not Checked In">
      <formula>NOT(ISERROR(SEARCH("Not Checked In",H2)))</formula>
    </cfRule>
  </conditionalFormatting>
  <dataValidations count="2">
    <dataValidation type="list" allowBlank="1" showInputMessage="1" showErrorMessage="1" sqref="G2:G100" xr:uid="{FF9C4FFA-32A3-44A5-A348-FE761581BDC9}">
      <formula1>"Scheduled,Completed,Cancelled,No Show"</formula1>
    </dataValidation>
    <dataValidation type="list" allowBlank="1" showInputMessage="1" showErrorMessage="1" sqref="H2:H100" xr:uid="{E1F53196-E259-4DD8-948A-BE9F08B087B5}">
      <formula1>"Checked In,Not Checked In,N/A"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2" workbookViewId="0">
      <selection activeCell="G20" sqref="G20"/>
    </sheetView>
  </sheetViews>
  <sheetFormatPr defaultRowHeight="15"/>
  <cols>
    <col min="1" max="1" width="29.140625" customWidth="1"/>
    <col min="2" max="2" width="6.42578125" bestFit="1" customWidth="1"/>
    <col min="6" max="6" width="10.7109375" bestFit="1" customWidth="1"/>
  </cols>
  <sheetData>
    <row r="1" spans="1:7" ht="18.75">
      <c r="A1" s="4" t="s">
        <v>152</v>
      </c>
    </row>
    <row r="2" spans="1:7">
      <c r="A2" s="7" t="s">
        <v>153</v>
      </c>
      <c r="B2" s="5">
        <f>COUNTA(Clients!A2:A100)</f>
        <v>15</v>
      </c>
    </row>
    <row r="4" spans="1:7">
      <c r="A4" s="6" t="s">
        <v>154</v>
      </c>
      <c r="B4" s="5">
        <f>COUNTIF(Clients!G2:G100,"No")</f>
        <v>5</v>
      </c>
    </row>
    <row r="6" spans="1:7">
      <c r="A6" s="8" t="s">
        <v>155</v>
      </c>
      <c r="B6" s="5">
        <f>COUNTA(Appointments!A2:A100)</f>
        <v>25</v>
      </c>
    </row>
    <row r="8" spans="1:7">
      <c r="A8" s="9" t="s">
        <v>156</v>
      </c>
      <c r="B8" s="5">
        <f>COUNTIF(Appointments!G2:G100,"Scheduled")</f>
        <v>10</v>
      </c>
    </row>
    <row r="9" spans="1:7">
      <c r="A9" s="9" t="s">
        <v>157</v>
      </c>
      <c r="B9" s="5">
        <f>COUNTIF(Appointments!G2:G100,"Completed")</f>
        <v>10</v>
      </c>
    </row>
    <row r="10" spans="1:7">
      <c r="A10" s="9" t="s">
        <v>158</v>
      </c>
      <c r="B10" s="5">
        <f>COUNTIF(Appointments!G2:G100,"Cancelled")</f>
        <v>3</v>
      </c>
    </row>
    <row r="11" spans="1:7">
      <c r="A11" s="9" t="s">
        <v>159</v>
      </c>
      <c r="B11" s="5">
        <f>COUNTIF(Appointments!G2:G100,"No Show")</f>
        <v>2</v>
      </c>
    </row>
    <row r="13" spans="1:7">
      <c r="F13" s="1" t="s">
        <v>98</v>
      </c>
      <c r="G13" s="1" t="s">
        <v>160</v>
      </c>
    </row>
    <row r="14" spans="1:7">
      <c r="F14" s="9" t="s">
        <v>103</v>
      </c>
      <c r="G14" s="10">
        <f>COUNTIF(Appointments!G:G,"Scheduled")</f>
        <v>10</v>
      </c>
    </row>
    <row r="15" spans="1:7">
      <c r="F15" s="9" t="s">
        <v>108</v>
      </c>
      <c r="G15" s="10">
        <f>COUNTIF(Appointments!G:G,"Completed")</f>
        <v>10</v>
      </c>
    </row>
    <row r="16" spans="1:7">
      <c r="F16" s="9" t="s">
        <v>113</v>
      </c>
      <c r="G16" s="10">
        <f>COUNTIF(Appointments!G:G,"Cancelled")</f>
        <v>3</v>
      </c>
    </row>
    <row r="17" spans="6:7">
      <c r="F17" s="9" t="s">
        <v>124</v>
      </c>
      <c r="G17" s="10">
        <f>COUNTIF(Appointments!G:G,"No Show")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2026-08-10T23:22:50Z</dcterms:created>
  <dcterms:modified xsi:type="dcterms:W3CDTF">2026-08-11T00:38:15Z</dcterms:modified>
  <cp:category/>
  <cp:contentStatus/>
</cp:coreProperties>
</file>